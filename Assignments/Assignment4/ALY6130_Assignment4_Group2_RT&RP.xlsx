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ng\Downloads\"/>
    </mc:Choice>
  </mc:AlternateContent>
  <xr:revisionPtr revIDLastSave="0" documentId="13_ncr:1_{1BD6690A-5B16-4FE1-B51F-F579C5074F9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&amp;W Analysis" sheetId="1" r:id="rId1"/>
    <sheet name="Risk Profile (RT &amp; RP)" sheetId="2" r:id="rId2"/>
    <sheet name="Formula for Ref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I8" i="2"/>
  <c r="E8" i="2"/>
  <c r="I7" i="2"/>
  <c r="E7" i="2"/>
  <c r="I6" i="2"/>
  <c r="E6" i="2"/>
  <c r="I5" i="2"/>
  <c r="E5" i="2"/>
  <c r="I4" i="2"/>
  <c r="E4" i="2"/>
  <c r="G18" i="1"/>
  <c r="G17" i="1"/>
  <c r="G16" i="1"/>
  <c r="G15" i="1"/>
  <c r="G14" i="1"/>
  <c r="G13" i="1"/>
  <c r="G12" i="1"/>
  <c r="G11" i="1"/>
  <c r="G10" i="1"/>
  <c r="B27" i="1" s="1"/>
  <c r="G9" i="1"/>
  <c r="G8" i="1"/>
  <c r="G7" i="1"/>
  <c r="G6" i="1"/>
  <c r="G5" i="1"/>
  <c r="G4" i="1"/>
  <c r="B29" i="1" l="1"/>
  <c r="G19" i="1"/>
  <c r="B28" i="1"/>
  <c r="B26" i="1"/>
  <c r="B25" i="1"/>
  <c r="B30" i="1" l="1"/>
</calcChain>
</file>

<file path=xl/sharedStrings.xml><?xml version="1.0" encoding="utf-8"?>
<sst xmlns="http://schemas.openxmlformats.org/spreadsheetml/2006/main" count="171" uniqueCount="114">
  <si>
    <t>Risk ID</t>
  </si>
  <si>
    <t>Risk Name</t>
  </si>
  <si>
    <t>I&amp;W Indicator</t>
  </si>
  <si>
    <t>Warning Level</t>
  </si>
  <si>
    <t>Probability
(0–1)</t>
  </si>
  <si>
    <t>Cost/Revenue
Impact (CAD)</t>
  </si>
  <si>
    <t>EMV
(CAD)</t>
  </si>
  <si>
    <t>Optimistic
(CAD M)</t>
  </si>
  <si>
    <t>Most Likely
(CAD M)</t>
  </si>
  <si>
    <t>Pessimistic
(CAD M)</t>
  </si>
  <si>
    <t>Risk Type</t>
  </si>
  <si>
    <t>R-01</t>
  </si>
  <si>
    <t>Cybersecurity Breach
During IT Integration</t>
  </si>
  <si>
    <t>High/critical security incidents &gt;=5/month in SOC</t>
  </si>
  <si>
    <t>Red</t>
  </si>
  <si>
    <t>Threat</t>
  </si>
  <si>
    <t>Confirmed unauthorized access to customer data</t>
  </si>
  <si>
    <t>OSFI mandatory breach notification triggered</t>
  </si>
  <si>
    <t>Critical</t>
  </si>
  <si>
    <t>R-02</t>
  </si>
  <si>
    <t>Regulatory Approval
Delay</t>
  </si>
  <si>
    <t>180-270 days elapsed without approval decision</t>
  </si>
  <si>
    <t>Amber</t>
  </si>
  <si>
    <t>Regulator requests additional/supplemental filing</t>
  </si>
  <si>
    <t>Conditional approval imposing PC Optimum data restrictions</t>
  </si>
  <si>
    <t>R-03</t>
  </si>
  <si>
    <t>Customer Attrition
from PC Financial Portfolio</t>
  </si>
  <si>
    <t>Monthly churn rate &gt; 3% among migrated customers</t>
  </si>
  <si>
    <t>NPS drops &gt; 15 points within 60 days of migration</t>
  </si>
  <si>
    <t>Competitor launches loyalty-linked product targeting PC Optimum base</t>
  </si>
  <si>
    <t>R-17</t>
  </si>
  <si>
    <t>Fraud Spike During
Integration</t>
  </si>
  <si>
    <t>Monthly fraud incident rate increases &gt; 40% vs. pre-integration baseline</t>
  </si>
  <si>
    <t>Account takeover complaints from PC Financial customers spike &gt; 2x</t>
  </si>
  <si>
    <t>Confirmed identity fraud losses exceed $1M in any single month</t>
  </si>
  <si>
    <t>R-38</t>
  </si>
  <si>
    <t>Cross-Sell Conversion
Opportunity (★ Positive)</t>
  </si>
  <si>
    <t>Monthly conversion trajectory on track for 15%+ cumulative at 18 months</t>
  </si>
  <si>
    <t>Green</t>
  </si>
  <si>
    <t>Opportunity</t>
  </si>
  <si>
    <t>EQ Bank app downloads among PC Financial cardholders grow MoM for 3+ months</t>
  </si>
  <si>
    <t>PC Optimum-linked personalized offers achieve &gt; 5% product open rate</t>
  </si>
  <si>
    <t>Risk</t>
  </si>
  <si>
    <t>Total EMV (CAD)</t>
  </si>
  <si>
    <t>MC Mean (CAD)</t>
  </si>
  <si>
    <t>MC Median (CAD)</t>
  </si>
  <si>
    <t>Rec. Reserve</t>
  </si>
  <si>
    <t>Type</t>
  </si>
  <si>
    <t>$100M</t>
  </si>
  <si>
    <t>$30M</t>
  </si>
  <si>
    <t>$50M</t>
  </si>
  <si>
    <t>$40M</t>
  </si>
  <si>
    <t>N/A (upside)</t>
  </si>
  <si>
    <t>NET THREAT CONTINGENCY RESERVE</t>
  </si>
  <si>
    <t>$120M+</t>
  </si>
  <si>
    <t>Threats only</t>
  </si>
  <si>
    <t>ALY6130 Assignment 4 — Updated Risk Profile (RT &amp; RP) | EQB Inc. / PC Financial Acquisition</t>
  </si>
  <si>
    <t>Risk register updated with I&amp;W quantitative values — Assignments 3 and 4 integrated</t>
  </si>
  <si>
    <t>Risk #</t>
  </si>
  <si>
    <t>L
(1-9)</t>
  </si>
  <si>
    <t>I
(1-9)</t>
  </si>
  <si>
    <t>Score
(LxI)</t>
  </si>
  <si>
    <t>Priority</t>
  </si>
  <si>
    <t>I&amp;W Prob.
(0-1)</t>
  </si>
  <si>
    <t>MC Mean
(CAD M)</t>
  </si>
  <si>
    <t>MC Median
(CAD M)</t>
  </si>
  <si>
    <t>Risk Treatment (Mitigation)</t>
  </si>
  <si>
    <t>Risk Owner</t>
  </si>
  <si>
    <t>Status</t>
  </si>
  <si>
    <t>Cybersecurity Breach During IT Integration</t>
  </si>
  <si>
    <t>H</t>
  </si>
  <si>
    <t>Activate dedicated cybersecurity workstream in IMO; deploy zero-trust architecture; conduct pre/post-migration access control audits; engage third-party penetration testing; establish OSFI B-10 breach notification protocol.</t>
  </si>
  <si>
    <t>CISO / Integration Management Office</t>
  </si>
  <si>
    <t>Open</t>
  </si>
  <si>
    <t>Regulatory Approval Delay by OSFI / Minister of Finance</t>
  </si>
  <si>
    <t>M</t>
  </si>
  <si>
    <t>Maintain proactive communication with OSFI and Competition Bureau; prepare contingency scenarios for 6-12 month delays; engage external regulatory counsel with Canadian bank M&amp;A experience.</t>
  </si>
  <si>
    <t>Chief Risk Officer / General Counsel</t>
  </si>
  <si>
    <t>Customer Attrition from PC Financial Portfolio</t>
  </si>
  <si>
    <t>Launch early customer communication campaign pre-close; deploy PC Optimum-linked personalized EQ Bank product offers within 90 days of close; monitor NPS and churn KPIs monthly.</t>
  </si>
  <si>
    <t>CMO / Chief Customer Experience Officer</t>
  </si>
  <si>
    <t>Fraud Spike During Integration — Account Takeover</t>
  </si>
  <si>
    <t>Deploy real-time fraud detection across dual-system integration period; implement enhanced identity verification for PC Financial customer logins; establish dedicated fraud response team during migration window.</t>
  </si>
  <si>
    <t>Chief Risk Officer / Fraud Prevention Lead</t>
  </si>
  <si>
    <t>Cross-Sell Conversion Opportunity — PC Financial Credit-Card Customers (★ Positive Risk)</t>
  </si>
  <si>
    <t>Launch structured cross-sell campaign within 90 days of deal close; use PC Optimum loyalty data for personalized product recommendations; apply PIPEDA-compliant consent frameworks; set quarterly conversion KPIs.</t>
  </si>
  <si>
    <t>CMO / Chief Digital Officer</t>
  </si>
  <si>
    <t>ALY6130 Assignment 4  I&amp;W Quantitative Risk Assessment | EQB Inc. / PC Financial Acquisition | Group 2</t>
  </si>
  <si>
    <t>R-04</t>
  </si>
  <si>
    <t>Indicators &amp; Warnings (I&amp;W) Analysis  Five Priority Risks (R-01, R-02, R-03, R-04, R-05)</t>
  </si>
  <si>
    <t>R-05</t>
  </si>
  <si>
    <t>TOTAL THREAT EMV</t>
  </si>
  <si>
    <t>TOTAL OPPORTUNITY EMV</t>
  </si>
  <si>
    <t>NET POSITION=OPPORTUNITY -THREAT</t>
  </si>
  <si>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</si>
  <si>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</si>
  <si>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</si>
  <si>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</si>
  <si>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</si>
  <si>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</si>
  <si>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</si>
  <si>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</si>
  <si>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</si>
  <si>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</si>
  <si>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</si>
  <si>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</si>
  <si>
    <t>Impact of Risk</t>
  </si>
  <si>
    <t>EMV =Prob *Cost Impact</t>
  </si>
  <si>
    <t>Risk Score= Impact * Likelihood score</t>
  </si>
  <si>
    <t>High (≥45)</t>
  </si>
  <si>
    <t>Medium (21–44)</t>
  </si>
  <si>
    <t>Low (≤20)</t>
  </si>
  <si>
    <t>I &amp;W prob =avg of Prob(0-1)</t>
  </si>
  <si>
    <t>Prob score defined according to each indiactor of the risk ,scenario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</si>
</sst>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E4057"/>
      <name val="Arial"/>
      <charset val="1"/>
    </font>
    <font>
      <sz val="10"/>
      <color rgb="FF2E4057"/>
      <name val="Arial"/>
      <charset val="1"/>
    </font>
    <font>
      <b/>
      <sz val="10"/>
      <color rgb="FFC0392B"/>
      <name val="Arial"/>
      <charset val="1"/>
    </font>
    <font>
      <sz val="10"/>
      <color rgb="FF0000FF"/>
      <name val="Arial"/>
      <charset val="1"/>
    </font>
    <font>
      <sz val="9"/>
      <color rgb="FF444444"/>
      <name val="Arial"/>
      <charset val="1"/>
    </font>
    <font>
      <b/>
      <sz val="10"/>
      <color rgb="FF880E4F"/>
      <name val="Arial"/>
      <charset val="1"/>
    </font>
    <font>
      <b/>
      <sz val="10"/>
      <color rgb="FFE67E22"/>
      <name val="Arial"/>
      <charset val="1"/>
    </font>
    <font>
      <b/>
      <sz val="10"/>
      <color rgb="FF27AE60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2E4057"/>
        <bgColor rgb="FF444444"/>
      </patternFill>
    </fill>
    <fill>
      <patternFill patternType="solid">
        <fgColor rgb="FF1F6B8E"/>
        <bgColor rgb="FF008080"/>
      </patternFill>
    </fill>
    <fill>
      <patternFill patternType="solid">
        <fgColor rgb="FFFFF0F0"/>
        <bgColor rgb="FFFDECEA"/>
      </patternFill>
    </fill>
    <fill>
      <patternFill patternType="solid">
        <fgColor rgb="FFFDECEA"/>
        <bgColor rgb="FFFFF0F0"/>
      </patternFill>
    </fill>
    <fill>
      <patternFill patternType="solid">
        <fgColor rgb="FFFCE4EC"/>
        <bgColor rgb="FFFDECEA"/>
      </patternFill>
    </fill>
    <fill>
      <patternFill patternType="solid">
        <fgColor rgb="FFFFF8EE"/>
        <bgColor rgb="FFF8F9FA"/>
      </patternFill>
    </fill>
    <fill>
      <patternFill patternType="solid">
        <fgColor rgb="FFFFF3CD"/>
        <bgColor rgb="FFFDECEA"/>
      </patternFill>
    </fill>
    <fill>
      <patternFill patternType="solid">
        <fgColor rgb="FFEEF6FF"/>
        <bgColor rgb="FFF4F7FB"/>
      </patternFill>
    </fill>
    <fill>
      <patternFill patternType="solid">
        <fgColor rgb="FFF9F0FF"/>
        <bgColor rgb="FFFFF0F0"/>
      </patternFill>
    </fill>
    <fill>
      <patternFill patternType="solid">
        <fgColor rgb="FFF0FFF4"/>
        <bgColor rgb="FFF8F9FA"/>
      </patternFill>
    </fill>
    <fill>
      <patternFill patternType="solid">
        <fgColor rgb="FFE6F4EA"/>
        <bgColor rgb="FFE8F5E9"/>
      </patternFill>
    </fill>
    <fill>
      <patternFill patternType="solid">
        <fgColor rgb="FFE8F5E9"/>
        <bgColor rgb="FFE6F4EA"/>
      </patternFill>
    </fill>
    <fill>
      <patternFill patternType="solid">
        <fgColor rgb="FFF4F7FB"/>
        <bgColor rgb="FFF8F9FA"/>
      </patternFill>
    </fill>
    <fill>
      <patternFill patternType="solid">
        <fgColor rgb="FFF8F9FA"/>
        <bgColor rgb="FFF4F7FB"/>
      </patternFill>
    </fill>
    <fill>
      <patternFill patternType="solid">
        <fgColor rgb="FF0070C0"/>
        <bgColor rgb="FF0055BB"/>
      </patternFill>
    </fill>
    <fill>
      <patternFill patternType="solid">
        <fgColor theme="0"/>
        <bgColor rgb="FFF2F2F2"/>
      </patternFill>
    </fill>
    <fill>
      <patternFill patternType="solid">
        <fgColor rgb="FFFFCCCC"/>
        <bgColor rgb="FFD9E1F2"/>
      </patternFill>
    </fill>
    <fill>
      <patternFill patternType="solid">
        <fgColor rgb="FFFFFF99"/>
        <bgColor rgb="FFF2F2F2"/>
      </patternFill>
    </fill>
    <fill>
      <patternFill patternType="solid">
        <fgColor rgb="FFCCFFCC"/>
        <bgColor rgb="FFCCFFFF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103">
    <xf numFmtId="0" fontId="0" fillId="0" borderId="0" xfId="0"/>
    <xf numFmtId="0" fontId="12" fillId="1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right" vertical="center" wrapText="1"/>
    </xf>
    <xf numFmtId="164" fontId="4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 wrapText="1"/>
    </xf>
    <xf numFmtId="164" fontId="6" fillId="7" borderId="2" xfId="0" applyNumberFormat="1" applyFont="1" applyFill="1" applyBorder="1" applyAlignment="1">
      <alignment horizontal="right" vertical="center" wrapText="1"/>
    </xf>
    <xf numFmtId="164" fontId="4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2" fontId="6" fillId="9" borderId="2" xfId="0" applyNumberFormat="1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right" vertical="center" wrapText="1"/>
    </xf>
    <xf numFmtId="164" fontId="4" fillId="9" borderId="2" xfId="0" applyNumberFormat="1" applyFont="1" applyFill="1" applyBorder="1" applyAlignment="1">
      <alignment horizontal="right" vertical="center"/>
    </xf>
    <xf numFmtId="164" fontId="6" fillId="9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2" fontId="6" fillId="10" borderId="2" xfId="0" applyNumberFormat="1" applyFont="1" applyFill="1" applyBorder="1" applyAlignment="1">
      <alignment horizontal="center" vertical="center" wrapText="1"/>
    </xf>
    <xf numFmtId="164" fontId="6" fillId="10" borderId="2" xfId="0" applyNumberFormat="1" applyFont="1" applyFill="1" applyBorder="1" applyAlignment="1">
      <alignment horizontal="right" vertical="center" wrapText="1"/>
    </xf>
    <xf numFmtId="164" fontId="4" fillId="10" borderId="2" xfId="0" applyNumberFormat="1" applyFont="1" applyFill="1" applyBorder="1" applyAlignment="1">
      <alignment horizontal="right" vertical="center"/>
    </xf>
    <xf numFmtId="164" fontId="6" fillId="10" borderId="2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center" vertical="center" wrapText="1"/>
    </xf>
    <xf numFmtId="2" fontId="6" fillId="11" borderId="2" xfId="0" applyNumberFormat="1" applyFont="1" applyFill="1" applyBorder="1" applyAlignment="1">
      <alignment horizontal="center" vertical="center" wrapText="1"/>
    </xf>
    <xf numFmtId="164" fontId="6" fillId="11" borderId="2" xfId="0" applyNumberFormat="1" applyFont="1" applyFill="1" applyBorder="1" applyAlignment="1">
      <alignment horizontal="right" vertical="center" wrapText="1"/>
    </xf>
    <xf numFmtId="164" fontId="4" fillId="11" borderId="2" xfId="0" applyNumberFormat="1" applyFont="1" applyFill="1" applyBorder="1" applyAlignment="1">
      <alignment horizontal="right" vertical="center"/>
    </xf>
    <xf numFmtId="164" fontId="6" fillId="11" borderId="2" xfId="0" applyNumberFormat="1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164" fontId="4" fillId="14" borderId="2" xfId="0" applyNumberFormat="1" applyFont="1" applyFill="1" applyBorder="1" applyAlignment="1">
      <alignment horizontal="right" vertical="center"/>
    </xf>
    <xf numFmtId="164" fontId="6" fillId="14" borderId="2" xfId="0" applyNumberFormat="1" applyFont="1" applyFill="1" applyBorder="1" applyAlignment="1">
      <alignment horizontal="righ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164" fontId="4" fillId="13" borderId="2" xfId="0" applyNumberFormat="1" applyFont="1" applyFill="1" applyBorder="1" applyAlignment="1">
      <alignment horizontal="right" vertical="center"/>
    </xf>
    <xf numFmtId="164" fontId="6" fillId="13" borderId="2" xfId="0" applyNumberFormat="1" applyFont="1" applyFill="1" applyBorder="1" applyAlignment="1">
      <alignment horizontal="right" vertical="center" wrapText="1"/>
    </xf>
    <xf numFmtId="0" fontId="4" fillId="13" borderId="2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righ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righ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righ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righ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/>
    </xf>
    <xf numFmtId="0" fontId="16" fillId="16" borderId="5" xfId="1" applyFont="1" applyFill="1" applyBorder="1" applyAlignment="1">
      <alignment horizontal="left" vertical="top"/>
    </xf>
    <xf numFmtId="0" fontId="17" fillId="16" borderId="5" xfId="1" applyFont="1" applyFill="1" applyBorder="1" applyAlignment="1">
      <alignment horizontal="left" vertical="top"/>
    </xf>
    <xf numFmtId="0" fontId="18" fillId="0" borderId="0" xfId="1" applyFont="1" applyAlignment="1">
      <alignment vertical="top"/>
    </xf>
    <xf numFmtId="0" fontId="18" fillId="17" borderId="5" xfId="1" applyFont="1" applyFill="1" applyBorder="1" applyAlignment="1">
      <alignment horizontal="left" vertical="top"/>
    </xf>
    <xf numFmtId="0" fontId="18" fillId="17" borderId="0" xfId="1" applyFont="1" applyFill="1" applyBorder="1" applyAlignment="1">
      <alignment horizontal="left" vertical="top"/>
    </xf>
    <xf numFmtId="0" fontId="15" fillId="18" borderId="5" xfId="1" applyFont="1" applyFill="1" applyBorder="1" applyAlignment="1">
      <alignment vertical="top" wrapText="1"/>
    </xf>
    <xf numFmtId="0" fontId="15" fillId="19" borderId="5" xfId="1" applyFont="1" applyFill="1" applyBorder="1" applyAlignment="1">
      <alignment vertical="top" wrapText="1"/>
    </xf>
    <xf numFmtId="0" fontId="15" fillId="20" borderId="5" xfId="1" applyFont="1" applyFill="1" applyBorder="1" applyAlignment="1">
      <alignment vertical="top" wrapText="1"/>
    </xf>
  </cellXfs>
  <cellStyles count="2">
    <cellStyle name="Normal" xfId="0" builtinId="0"/>
    <cellStyle name="Normal 2" xfId="1" xr:uid="{A409468E-D784-40E2-B1F1-FFFF1D5EB5B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808000"/>
      <rgbColor rgb="FF880E4F"/>
      <rgbColor rgb="FF1F6B8E"/>
      <rgbColor rgb="FFF9F0FF"/>
      <rgbColor rgb="FF808080"/>
      <rgbColor rgb="FF9999FF"/>
      <rgbColor rgb="FF993366"/>
      <rgbColor rgb="FFFFF3CD"/>
      <rgbColor rgb="FFE6F4EA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FF4"/>
      <rgbColor rgb="FFFFF8EE"/>
      <rgbColor rgb="FFEEF6FF"/>
      <rgbColor rgb="FFFFF0F0"/>
      <rgbColor rgb="FFF4F7FB"/>
      <rgbColor rgb="FFFDECEA"/>
      <rgbColor rgb="FF3366FF"/>
      <rgbColor rgb="FF33CCCC"/>
      <rgbColor rgb="FF99CC00"/>
      <rgbColor rgb="FFFFCC00"/>
      <rgbColor rgb="FFFF9900"/>
      <rgbColor rgb="FFE67E22"/>
      <rgbColor rgb="FF666666"/>
      <rgbColor rgb="FFAAAAAA"/>
      <rgbColor rgb="FF003366"/>
      <rgbColor rgb="FF27AE60"/>
      <rgbColor rgb="FF003300"/>
      <rgbColor rgb="FF444444"/>
      <rgbColor rgb="FFC0392B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Normal="100" workbookViewId="0">
      <selection activeCell="H21" sqref="H21"/>
    </sheetView>
  </sheetViews>
  <sheetFormatPr defaultColWidth="8.7109375" defaultRowHeight="15" x14ac:dyDescent="0.25"/>
  <cols>
    <col min="1" max="1" width="8" customWidth="1"/>
    <col min="2" max="2" width="24.28515625" customWidth="1"/>
    <col min="3" max="3" width="44" customWidth="1"/>
    <col min="4" max="4" width="14" customWidth="1"/>
    <col min="5" max="5" width="11" customWidth="1"/>
    <col min="6" max="7" width="18" customWidth="1"/>
    <col min="8" max="11" width="12" customWidth="1"/>
  </cols>
  <sheetData>
    <row r="1" spans="1:11" ht="27.75" customHeight="1" x14ac:dyDescent="0.25">
      <c r="A1" s="4" t="s">
        <v>87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" customHeight="1" x14ac:dyDescent="0.25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6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30" customHeight="1" x14ac:dyDescent="0.25">
      <c r="A4" s="6" t="s">
        <v>11</v>
      </c>
      <c r="B4" s="7" t="s">
        <v>12</v>
      </c>
      <c r="C4" s="8" t="s">
        <v>13</v>
      </c>
      <c r="D4" s="9" t="s">
        <v>14</v>
      </c>
      <c r="E4" s="10">
        <v>0.35</v>
      </c>
      <c r="F4" s="11">
        <v>50000000</v>
      </c>
      <c r="G4" s="12">
        <f t="shared" ref="G4:G18" si="0">E4*F4</f>
        <v>17500000</v>
      </c>
      <c r="H4" s="13">
        <v>20</v>
      </c>
      <c r="I4" s="13">
        <v>80</v>
      </c>
      <c r="J4" s="13">
        <v>200</v>
      </c>
      <c r="K4" s="6" t="s">
        <v>15</v>
      </c>
    </row>
    <row r="5" spans="1:11" ht="24" customHeight="1" x14ac:dyDescent="0.25">
      <c r="A5" s="6" t="s">
        <v>11</v>
      </c>
      <c r="B5" s="7"/>
      <c r="C5" s="8" t="s">
        <v>16</v>
      </c>
      <c r="D5" s="9" t="s">
        <v>14</v>
      </c>
      <c r="E5" s="10">
        <v>0.2</v>
      </c>
      <c r="F5" s="11">
        <v>120000000</v>
      </c>
      <c r="G5" s="12">
        <f t="shared" si="0"/>
        <v>24000000</v>
      </c>
      <c r="H5" s="14"/>
      <c r="I5" s="14"/>
      <c r="J5" s="14"/>
      <c r="K5" s="6" t="s">
        <v>15</v>
      </c>
    </row>
    <row r="6" spans="1:11" ht="24" customHeight="1" x14ac:dyDescent="0.25">
      <c r="A6" s="6" t="s">
        <v>11</v>
      </c>
      <c r="B6" s="7"/>
      <c r="C6" s="8" t="s">
        <v>17</v>
      </c>
      <c r="D6" s="15" t="s">
        <v>18</v>
      </c>
      <c r="E6" s="10">
        <v>0.15</v>
      </c>
      <c r="F6" s="11">
        <v>180000000</v>
      </c>
      <c r="G6" s="12">
        <f t="shared" si="0"/>
        <v>27000000</v>
      </c>
      <c r="H6" s="14"/>
      <c r="I6" s="14"/>
      <c r="J6" s="14"/>
      <c r="K6" s="6" t="s">
        <v>15</v>
      </c>
    </row>
    <row r="7" spans="1:11" ht="30" customHeight="1" x14ac:dyDescent="0.25">
      <c r="A7" s="16" t="s">
        <v>19</v>
      </c>
      <c r="B7" s="17" t="s">
        <v>20</v>
      </c>
      <c r="C7" s="18" t="s">
        <v>21</v>
      </c>
      <c r="D7" s="19" t="s">
        <v>22</v>
      </c>
      <c r="E7" s="20">
        <v>0.4</v>
      </c>
      <c r="F7" s="21">
        <v>15000000</v>
      </c>
      <c r="G7" s="22">
        <f t="shared" si="0"/>
        <v>6000000</v>
      </c>
      <c r="H7" s="23">
        <v>5</v>
      </c>
      <c r="I7" s="23">
        <v>20</v>
      </c>
      <c r="J7" s="23">
        <v>75</v>
      </c>
      <c r="K7" s="16" t="s">
        <v>15</v>
      </c>
    </row>
    <row r="8" spans="1:11" ht="24" customHeight="1" x14ac:dyDescent="0.25">
      <c r="A8" s="16" t="s">
        <v>19</v>
      </c>
      <c r="B8" s="17"/>
      <c r="C8" s="18" t="s">
        <v>23</v>
      </c>
      <c r="D8" s="19" t="s">
        <v>22</v>
      </c>
      <c r="E8" s="20">
        <v>0.3</v>
      </c>
      <c r="F8" s="21">
        <v>8000000</v>
      </c>
      <c r="G8" s="22">
        <f t="shared" si="0"/>
        <v>2400000</v>
      </c>
      <c r="H8" s="24"/>
      <c r="I8" s="24"/>
      <c r="J8" s="24"/>
      <c r="K8" s="16" t="s">
        <v>15</v>
      </c>
    </row>
    <row r="9" spans="1:11" ht="24" customHeight="1" x14ac:dyDescent="0.25">
      <c r="A9" s="16" t="s">
        <v>19</v>
      </c>
      <c r="B9" s="17"/>
      <c r="C9" s="18" t="s">
        <v>24</v>
      </c>
      <c r="D9" s="9" t="s">
        <v>14</v>
      </c>
      <c r="E9" s="20">
        <v>0.15</v>
      </c>
      <c r="F9" s="21">
        <v>60000000</v>
      </c>
      <c r="G9" s="22">
        <f t="shared" si="0"/>
        <v>9000000</v>
      </c>
      <c r="H9" s="24"/>
      <c r="I9" s="24"/>
      <c r="J9" s="24"/>
      <c r="K9" s="16" t="s">
        <v>15</v>
      </c>
    </row>
    <row r="10" spans="1:11" ht="30" customHeight="1" x14ac:dyDescent="0.25">
      <c r="A10" s="25" t="s">
        <v>25</v>
      </c>
      <c r="B10" s="26" t="s">
        <v>26</v>
      </c>
      <c r="C10" s="27" t="s">
        <v>27</v>
      </c>
      <c r="D10" s="19" t="s">
        <v>22</v>
      </c>
      <c r="E10" s="28">
        <v>0.45</v>
      </c>
      <c r="F10" s="29">
        <v>30000000</v>
      </c>
      <c r="G10" s="30">
        <f t="shared" si="0"/>
        <v>13500000</v>
      </c>
      <c r="H10" s="31">
        <v>10</v>
      </c>
      <c r="I10" s="31">
        <v>35</v>
      </c>
      <c r="J10" s="31">
        <v>90</v>
      </c>
      <c r="K10" s="25" t="s">
        <v>15</v>
      </c>
    </row>
    <row r="11" spans="1:11" ht="24" customHeight="1" x14ac:dyDescent="0.25">
      <c r="A11" s="25" t="s">
        <v>25</v>
      </c>
      <c r="B11" s="26"/>
      <c r="C11" s="27" t="s">
        <v>28</v>
      </c>
      <c r="D11" s="19" t="s">
        <v>22</v>
      </c>
      <c r="E11" s="28">
        <v>0.35</v>
      </c>
      <c r="F11" s="29">
        <v>20000000</v>
      </c>
      <c r="G11" s="30">
        <f t="shared" si="0"/>
        <v>7000000</v>
      </c>
      <c r="H11" s="32"/>
      <c r="I11" s="32"/>
      <c r="J11" s="32"/>
      <c r="K11" s="25" t="s">
        <v>15</v>
      </c>
    </row>
    <row r="12" spans="1:11" ht="24" customHeight="1" x14ac:dyDescent="0.25">
      <c r="A12" s="25" t="s">
        <v>25</v>
      </c>
      <c r="B12" s="26"/>
      <c r="C12" s="27" t="s">
        <v>29</v>
      </c>
      <c r="D12" s="9" t="s">
        <v>14</v>
      </c>
      <c r="E12" s="28">
        <v>0.25</v>
      </c>
      <c r="F12" s="29">
        <v>50000000</v>
      </c>
      <c r="G12" s="30">
        <f t="shared" si="0"/>
        <v>12500000</v>
      </c>
      <c r="H12" s="32"/>
      <c r="I12" s="32"/>
      <c r="J12" s="32"/>
      <c r="K12" s="25" t="s">
        <v>15</v>
      </c>
    </row>
    <row r="13" spans="1:11" ht="30" customHeight="1" x14ac:dyDescent="0.25">
      <c r="A13" s="33" t="s">
        <v>88</v>
      </c>
      <c r="B13" s="34" t="s">
        <v>31</v>
      </c>
      <c r="C13" s="35" t="s">
        <v>32</v>
      </c>
      <c r="D13" s="19" t="s">
        <v>22</v>
      </c>
      <c r="E13" s="36">
        <v>0.5</v>
      </c>
      <c r="F13" s="37">
        <v>15000000</v>
      </c>
      <c r="G13" s="38">
        <f t="shared" si="0"/>
        <v>7500000</v>
      </c>
      <c r="H13" s="39">
        <v>8</v>
      </c>
      <c r="I13" s="39">
        <v>28</v>
      </c>
      <c r="J13" s="39">
        <v>70</v>
      </c>
      <c r="K13" s="33" t="s">
        <v>15</v>
      </c>
    </row>
    <row r="14" spans="1:11" ht="24" customHeight="1" x14ac:dyDescent="0.25">
      <c r="A14" s="33" t="s">
        <v>88</v>
      </c>
      <c r="B14" s="34"/>
      <c r="C14" s="35" t="s">
        <v>33</v>
      </c>
      <c r="D14" s="9" t="s">
        <v>14</v>
      </c>
      <c r="E14" s="36">
        <v>0.35</v>
      </c>
      <c r="F14" s="37">
        <v>25000000</v>
      </c>
      <c r="G14" s="38">
        <f t="shared" si="0"/>
        <v>8750000</v>
      </c>
      <c r="H14" s="40"/>
      <c r="I14" s="40"/>
      <c r="J14" s="40"/>
      <c r="K14" s="33" t="s">
        <v>15</v>
      </c>
    </row>
    <row r="15" spans="1:11" ht="24" customHeight="1" x14ac:dyDescent="0.25">
      <c r="A15" s="33" t="s">
        <v>88</v>
      </c>
      <c r="B15" s="34"/>
      <c r="C15" s="35" t="s">
        <v>34</v>
      </c>
      <c r="D15" s="9" t="s">
        <v>14</v>
      </c>
      <c r="E15" s="36">
        <v>0.2</v>
      </c>
      <c r="F15" s="37">
        <v>45000000</v>
      </c>
      <c r="G15" s="38">
        <f t="shared" si="0"/>
        <v>9000000</v>
      </c>
      <c r="H15" s="40"/>
      <c r="I15" s="40"/>
      <c r="J15" s="40"/>
      <c r="K15" s="33" t="s">
        <v>15</v>
      </c>
    </row>
    <row r="16" spans="1:11" ht="30" customHeight="1" x14ac:dyDescent="0.25">
      <c r="A16" s="41" t="s">
        <v>90</v>
      </c>
      <c r="B16" s="42" t="s">
        <v>36</v>
      </c>
      <c r="C16" s="43" t="s">
        <v>37</v>
      </c>
      <c r="D16" s="44" t="s">
        <v>38</v>
      </c>
      <c r="E16" s="45">
        <v>0.6</v>
      </c>
      <c r="F16" s="46">
        <v>80000000</v>
      </c>
      <c r="G16" s="47">
        <f t="shared" si="0"/>
        <v>48000000</v>
      </c>
      <c r="H16" s="48">
        <v>180</v>
      </c>
      <c r="I16" s="48">
        <v>100</v>
      </c>
      <c r="J16" s="48">
        <v>30</v>
      </c>
      <c r="K16" s="49" t="s">
        <v>39</v>
      </c>
    </row>
    <row r="17" spans="1:11" ht="24" customHeight="1" x14ac:dyDescent="0.25">
      <c r="A17" s="41" t="s">
        <v>90</v>
      </c>
      <c r="B17" s="42"/>
      <c r="C17" s="43" t="s">
        <v>40</v>
      </c>
      <c r="D17" s="44" t="s">
        <v>38</v>
      </c>
      <c r="E17" s="45">
        <v>0.65</v>
      </c>
      <c r="F17" s="46">
        <v>40000000</v>
      </c>
      <c r="G17" s="47">
        <f t="shared" si="0"/>
        <v>26000000</v>
      </c>
      <c r="H17" s="50"/>
      <c r="I17" s="50"/>
      <c r="J17" s="50"/>
      <c r="K17" s="49" t="s">
        <v>39</v>
      </c>
    </row>
    <row r="18" spans="1:11" ht="24" customHeight="1" x14ac:dyDescent="0.25">
      <c r="A18" s="41" t="s">
        <v>90</v>
      </c>
      <c r="B18" s="42"/>
      <c r="C18" s="43" t="s">
        <v>41</v>
      </c>
      <c r="D18" s="44" t="s">
        <v>38</v>
      </c>
      <c r="E18" s="45">
        <v>0.5</v>
      </c>
      <c r="F18" s="46">
        <v>60000000</v>
      </c>
      <c r="G18" s="47">
        <f t="shared" si="0"/>
        <v>30000000</v>
      </c>
      <c r="H18" s="50"/>
      <c r="I18" s="50"/>
      <c r="J18" s="50"/>
      <c r="K18" s="49" t="s">
        <v>39</v>
      </c>
    </row>
    <row r="19" spans="1:11" ht="21.75" customHeight="1" x14ac:dyDescent="0.25">
      <c r="A19" s="2" t="s">
        <v>91</v>
      </c>
      <c r="B19" s="2"/>
      <c r="C19" s="2"/>
      <c r="D19" s="2"/>
      <c r="E19" s="2"/>
      <c r="F19" s="2"/>
      <c r="G19" s="51">
        <f>SUM(G4:G15)</f>
        <v>144150000</v>
      </c>
      <c r="H19" s="52"/>
      <c r="I19" s="52"/>
      <c r="J19" s="52"/>
      <c r="K19" s="52"/>
    </row>
    <row r="20" spans="1:11" ht="21.75" customHeight="1" x14ac:dyDescent="0.25">
      <c r="A20" s="92" t="s">
        <v>92</v>
      </c>
      <c r="B20" s="92"/>
      <c r="C20" s="92"/>
      <c r="D20" s="92"/>
      <c r="E20" s="92"/>
      <c r="F20" s="93"/>
      <c r="G20" s="94">
        <f>SUM(G16:G18)</f>
        <v>104000000</v>
      </c>
      <c r="H20" s="91"/>
      <c r="I20" s="90"/>
      <c r="J20" s="90"/>
      <c r="K20" s="90"/>
    </row>
    <row r="21" spans="1:11" ht="21.75" customHeight="1" x14ac:dyDescent="0.25">
      <c r="A21" s="92" t="s">
        <v>93</v>
      </c>
      <c r="B21" s="92"/>
      <c r="C21" s="92"/>
      <c r="D21" s="92"/>
      <c r="E21" s="92"/>
      <c r="F21" s="93"/>
      <c r="G21" s="94">
        <f>G20-G19</f>
        <v>-40150000</v>
      </c>
      <c r="H21" s="91"/>
      <c r="I21" s="90"/>
      <c r="J21" s="90"/>
      <c r="K21" s="90"/>
    </row>
    <row r="24" spans="1:11" ht="33.75" customHeight="1" x14ac:dyDescent="0.25">
      <c r="A24" s="53" t="s">
        <v>42</v>
      </c>
      <c r="B24" s="53" t="s">
        <v>43</v>
      </c>
      <c r="C24" s="53" t="s">
        <v>44</v>
      </c>
      <c r="D24" s="53" t="s">
        <v>45</v>
      </c>
      <c r="E24" s="53" t="s">
        <v>46</v>
      </c>
      <c r="F24" s="53" t="s">
        <v>47</v>
      </c>
      <c r="G24" s="54"/>
      <c r="H24" s="54"/>
      <c r="I24" s="54"/>
      <c r="J24" s="54"/>
      <c r="K24" s="54"/>
    </row>
    <row r="25" spans="1:11" x14ac:dyDescent="0.25">
      <c r="A25" s="55" t="s">
        <v>11</v>
      </c>
      <c r="B25" s="56">
        <f>G4+G5+G6</f>
        <v>68500000</v>
      </c>
      <c r="C25" s="57">
        <v>57800000</v>
      </c>
      <c r="D25" s="57">
        <v>57700000</v>
      </c>
      <c r="E25" s="58" t="s">
        <v>48</v>
      </c>
      <c r="F25" s="58" t="s">
        <v>15</v>
      </c>
      <c r="G25" s="59"/>
      <c r="H25" s="59"/>
      <c r="I25" s="59"/>
      <c r="J25" s="59"/>
      <c r="K25" s="59"/>
    </row>
    <row r="26" spans="1:11" x14ac:dyDescent="0.25">
      <c r="A26" s="55" t="s">
        <v>19</v>
      </c>
      <c r="B26" s="56">
        <f>G7+G8+G9</f>
        <v>17400000</v>
      </c>
      <c r="C26" s="57">
        <v>16200000</v>
      </c>
      <c r="D26" s="57">
        <v>16200000</v>
      </c>
      <c r="E26" s="58" t="s">
        <v>49</v>
      </c>
      <c r="F26" s="58" t="s">
        <v>15</v>
      </c>
      <c r="G26" s="59"/>
      <c r="H26" s="59"/>
      <c r="I26" s="59"/>
      <c r="J26" s="59"/>
      <c r="K26" s="59"/>
    </row>
    <row r="27" spans="1:11" x14ac:dyDescent="0.25">
      <c r="A27" s="55" t="s">
        <v>25</v>
      </c>
      <c r="B27" s="56">
        <f>G10+G11+G12</f>
        <v>33000000</v>
      </c>
      <c r="C27" s="57">
        <v>25800000</v>
      </c>
      <c r="D27" s="57">
        <v>25800000</v>
      </c>
      <c r="E27" s="58" t="s">
        <v>50</v>
      </c>
      <c r="F27" s="58" t="s">
        <v>15</v>
      </c>
      <c r="G27" s="59"/>
      <c r="H27" s="59"/>
      <c r="I27" s="59"/>
      <c r="J27" s="59"/>
      <c r="K27" s="59"/>
    </row>
    <row r="28" spans="1:11" ht="18" customHeight="1" x14ac:dyDescent="0.25">
      <c r="A28" s="55" t="s">
        <v>88</v>
      </c>
      <c r="B28" s="56">
        <f>G13+G14+G15</f>
        <v>25250000</v>
      </c>
      <c r="C28" s="57">
        <v>20400000</v>
      </c>
      <c r="D28" s="57">
        <v>20300000</v>
      </c>
      <c r="E28" s="58" t="s">
        <v>51</v>
      </c>
      <c r="F28" s="58" t="s">
        <v>15</v>
      </c>
      <c r="G28" s="59"/>
      <c r="H28" s="59"/>
      <c r="I28" s="59"/>
      <c r="J28" s="59"/>
      <c r="K28" s="59"/>
    </row>
    <row r="29" spans="1:11" ht="39" customHeight="1" x14ac:dyDescent="0.25">
      <c r="A29" s="60" t="s">
        <v>90</v>
      </c>
      <c r="B29" s="61">
        <f>G16+G17+G18</f>
        <v>104000000</v>
      </c>
      <c r="C29" s="62">
        <v>83600000</v>
      </c>
      <c r="D29" s="62">
        <v>83500000</v>
      </c>
      <c r="E29" s="49" t="s">
        <v>52</v>
      </c>
      <c r="F29" s="49" t="s">
        <v>39</v>
      </c>
      <c r="G29" s="63"/>
      <c r="H29" s="63"/>
      <c r="I29" s="63"/>
      <c r="J29" s="63"/>
      <c r="K29" s="63"/>
    </row>
    <row r="30" spans="1:11" ht="21.75" customHeight="1" x14ac:dyDescent="0.25">
      <c r="A30" s="5" t="s">
        <v>53</v>
      </c>
      <c r="B30" s="51">
        <f>B25+B26+B27+B28</f>
        <v>144150000</v>
      </c>
      <c r="C30" s="64">
        <v>120200000</v>
      </c>
      <c r="D30" s="64">
        <v>120100000</v>
      </c>
      <c r="E30" s="5" t="s">
        <v>54</v>
      </c>
      <c r="F30" s="5" t="s">
        <v>55</v>
      </c>
      <c r="G30" s="52"/>
      <c r="H30" s="52"/>
      <c r="I30" s="52"/>
      <c r="J30" s="52"/>
      <c r="K30" s="52"/>
    </row>
  </sheetData>
  <mergeCells count="5">
    <mergeCell ref="A20:F20"/>
    <mergeCell ref="A21:F21"/>
    <mergeCell ref="A1:K1"/>
    <mergeCell ref="A2:K2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zoomScaleNormal="100" workbookViewId="0">
      <selection activeCell="L13" sqref="L13"/>
    </sheetView>
  </sheetViews>
  <sheetFormatPr defaultColWidth="8.7109375" defaultRowHeight="15" x14ac:dyDescent="0.25"/>
  <cols>
    <col min="1" max="1" width="8" customWidth="1"/>
    <col min="2" max="2" width="22" customWidth="1"/>
    <col min="3" max="4" width="7" customWidth="1"/>
    <col min="5" max="6" width="8" customWidth="1"/>
    <col min="7" max="7" width="10" customWidth="1"/>
    <col min="8" max="9" width="16" customWidth="1"/>
    <col min="10" max="11" width="12" customWidth="1"/>
    <col min="12" max="12" width="40" customWidth="1"/>
    <col min="13" max="13" width="26" customWidth="1"/>
    <col min="14" max="14" width="9" customWidth="1"/>
  </cols>
  <sheetData>
    <row r="1" spans="1:14" ht="27.75" customHeight="1" x14ac:dyDescent="0.25">
      <c r="A1" s="4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" customHeight="1" x14ac:dyDescent="0.25">
      <c r="A2" s="3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43.5" customHeight="1" x14ac:dyDescent="0.25">
      <c r="A3" s="5" t="s">
        <v>58</v>
      </c>
      <c r="B3" s="5" t="s">
        <v>1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5</v>
      </c>
      <c r="I3" s="5" t="s">
        <v>6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</row>
    <row r="4" spans="1:14" ht="60" customHeight="1" x14ac:dyDescent="0.25">
      <c r="A4" s="6" t="s">
        <v>11</v>
      </c>
      <c r="B4" s="7" t="s">
        <v>69</v>
      </c>
      <c r="C4" s="65">
        <v>9</v>
      </c>
      <c r="D4" s="65">
        <v>9</v>
      </c>
      <c r="E4" s="66">
        <f>C4*D4</f>
        <v>81</v>
      </c>
      <c r="F4" s="9" t="s">
        <v>70</v>
      </c>
      <c r="G4" s="10">
        <v>0.23</v>
      </c>
      <c r="H4" s="11">
        <v>80000000</v>
      </c>
      <c r="I4" s="12">
        <f>G4*H4</f>
        <v>18400000</v>
      </c>
      <c r="J4" s="67">
        <v>57800000</v>
      </c>
      <c r="K4" s="67">
        <v>57700000</v>
      </c>
      <c r="L4" s="68" t="s">
        <v>71</v>
      </c>
      <c r="M4" s="68" t="s">
        <v>72</v>
      </c>
      <c r="N4" s="69" t="s">
        <v>73</v>
      </c>
    </row>
    <row r="5" spans="1:14" ht="60" customHeight="1" x14ac:dyDescent="0.25">
      <c r="A5" s="16" t="s">
        <v>19</v>
      </c>
      <c r="B5" s="17" t="s">
        <v>74</v>
      </c>
      <c r="C5" s="70">
        <v>3</v>
      </c>
      <c r="D5" s="70">
        <v>8</v>
      </c>
      <c r="E5" s="71">
        <f>C5*D5</f>
        <v>24</v>
      </c>
      <c r="F5" s="19" t="s">
        <v>75</v>
      </c>
      <c r="G5" s="20">
        <v>0.28000000000000003</v>
      </c>
      <c r="H5" s="21">
        <v>20000000</v>
      </c>
      <c r="I5" s="22">
        <f>G5*H5</f>
        <v>5600000.0000000009</v>
      </c>
      <c r="J5" s="72">
        <v>16200000</v>
      </c>
      <c r="K5" s="72">
        <v>16200000</v>
      </c>
      <c r="L5" s="73" t="s">
        <v>76</v>
      </c>
      <c r="M5" s="73" t="s">
        <v>77</v>
      </c>
      <c r="N5" s="74" t="s">
        <v>73</v>
      </c>
    </row>
    <row r="6" spans="1:14" ht="60" customHeight="1" x14ac:dyDescent="0.25">
      <c r="A6" s="25" t="s">
        <v>25</v>
      </c>
      <c r="B6" s="26" t="s">
        <v>78</v>
      </c>
      <c r="C6" s="75">
        <v>7</v>
      </c>
      <c r="D6" s="75">
        <v>8</v>
      </c>
      <c r="E6" s="76">
        <f>C6*D6</f>
        <v>56</v>
      </c>
      <c r="F6" s="9" t="s">
        <v>70</v>
      </c>
      <c r="G6" s="28">
        <v>0.35</v>
      </c>
      <c r="H6" s="29">
        <v>35000000</v>
      </c>
      <c r="I6" s="30">
        <f>G6*H6</f>
        <v>12250000</v>
      </c>
      <c r="J6" s="77">
        <v>25800000</v>
      </c>
      <c r="K6" s="77">
        <v>25800000</v>
      </c>
      <c r="L6" s="78" t="s">
        <v>79</v>
      </c>
      <c r="M6" s="78" t="s">
        <v>80</v>
      </c>
      <c r="N6" s="79" t="s">
        <v>73</v>
      </c>
    </row>
    <row r="7" spans="1:14" ht="60" customHeight="1" x14ac:dyDescent="0.25">
      <c r="A7" s="33" t="s">
        <v>30</v>
      </c>
      <c r="B7" s="34" t="s">
        <v>81</v>
      </c>
      <c r="C7" s="80">
        <v>9</v>
      </c>
      <c r="D7" s="80">
        <v>6</v>
      </c>
      <c r="E7" s="81">
        <f>C7*D7</f>
        <v>54</v>
      </c>
      <c r="F7" s="9" t="s">
        <v>70</v>
      </c>
      <c r="G7" s="36">
        <v>0.35</v>
      </c>
      <c r="H7" s="37">
        <v>28000000</v>
      </c>
      <c r="I7" s="38">
        <f>G7*H7</f>
        <v>9800000</v>
      </c>
      <c r="J7" s="82">
        <v>20400000</v>
      </c>
      <c r="K7" s="82">
        <v>20300000</v>
      </c>
      <c r="L7" s="83" t="s">
        <v>82</v>
      </c>
      <c r="M7" s="83" t="s">
        <v>83</v>
      </c>
      <c r="N7" s="84" t="s">
        <v>73</v>
      </c>
    </row>
    <row r="8" spans="1:14" ht="60" customHeight="1" x14ac:dyDescent="0.25">
      <c r="A8" s="41" t="s">
        <v>35</v>
      </c>
      <c r="B8" s="42" t="s">
        <v>84</v>
      </c>
      <c r="C8" s="85">
        <v>9</v>
      </c>
      <c r="D8" s="85">
        <v>9</v>
      </c>
      <c r="E8" s="86">
        <f>C8*D8</f>
        <v>81</v>
      </c>
      <c r="F8" s="9" t="s">
        <v>70</v>
      </c>
      <c r="G8" s="45">
        <v>0.57999999999999996</v>
      </c>
      <c r="H8" s="46">
        <v>100000000</v>
      </c>
      <c r="I8" s="47">
        <f>G8*H8</f>
        <v>57999999.999999993</v>
      </c>
      <c r="J8" s="87">
        <v>83600000</v>
      </c>
      <c r="K8" s="87">
        <v>83500000</v>
      </c>
      <c r="L8" s="88" t="s">
        <v>85</v>
      </c>
      <c r="M8" s="88" t="s">
        <v>86</v>
      </c>
      <c r="N8" s="89" t="s">
        <v>73</v>
      </c>
    </row>
    <row r="9" spans="1:14" ht="36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3">
    <mergeCell ref="A1:N1"/>
    <mergeCell ref="A2:N2"/>
    <mergeCell ref="A9:N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B3A8-ED4A-42A7-A838-CC77854D322F}">
  <dimension ref="A1:G25"/>
  <sheetViews>
    <sheetView workbookViewId="0">
      <selection activeCell="D26" sqref="D26"/>
    </sheetView>
  </sheetViews>
  <sheetFormatPr defaultRowHeight="15" x14ac:dyDescent="0.25"/>
  <cols>
    <col min="1" max="1" width="54.7109375" customWidth="1"/>
    <col min="7" max="7" width="21.42578125" customWidth="1"/>
  </cols>
  <sheetData>
    <row r="1" spans="1:7" x14ac:dyDescent="0.25">
      <c r="A1" s="95" t="s">
        <v>94</v>
      </c>
      <c r="B1" s="96"/>
      <c r="G1" s="100" t="s">
        <v>109</v>
      </c>
    </row>
    <row r="2" spans="1:7" x14ac:dyDescent="0.25">
      <c r="A2" s="96" t="s">
        <v>95</v>
      </c>
      <c r="B2" s="96">
        <v>1</v>
      </c>
      <c r="G2" s="101" t="s">
        <v>110</v>
      </c>
    </row>
    <row r="3" spans="1:7" x14ac:dyDescent="0.25">
      <c r="A3" s="96" t="s">
        <v>96</v>
      </c>
      <c r="B3" s="96">
        <v>3</v>
      </c>
      <c r="G3" s="102" t="s">
        <v>111</v>
      </c>
    </row>
    <row r="4" spans="1:7" x14ac:dyDescent="0.25">
      <c r="A4" s="96" t="s">
        <v>97</v>
      </c>
      <c r="B4" s="96">
        <v>5</v>
      </c>
    </row>
    <row r="5" spans="1:7" x14ac:dyDescent="0.25">
      <c r="A5" s="96" t="s">
        <v>98</v>
      </c>
      <c r="B5" s="96">
        <v>7</v>
      </c>
    </row>
    <row r="6" spans="1:7" x14ac:dyDescent="0.25">
      <c r="A6" s="96" t="s">
        <v>99</v>
      </c>
      <c r="B6" s="96">
        <v>9</v>
      </c>
    </row>
    <row r="7" spans="1:7" x14ac:dyDescent="0.25">
      <c r="A7" s="97"/>
      <c r="B7" s="97"/>
    </row>
    <row r="8" spans="1:7" x14ac:dyDescent="0.25">
      <c r="A8" s="97"/>
      <c r="B8" s="97"/>
    </row>
    <row r="9" spans="1:7" x14ac:dyDescent="0.25">
      <c r="A9" s="97"/>
      <c r="B9" s="97"/>
    </row>
    <row r="10" spans="1:7" x14ac:dyDescent="0.25">
      <c r="A10" s="95" t="s">
        <v>106</v>
      </c>
      <c r="B10" s="96"/>
    </row>
    <row r="11" spans="1:7" x14ac:dyDescent="0.25">
      <c r="A11" s="98" t="s">
        <v>100</v>
      </c>
      <c r="B11" s="98">
        <v>1</v>
      </c>
    </row>
    <row r="12" spans="1:7" x14ac:dyDescent="0.25">
      <c r="A12" s="98" t="s">
        <v>101</v>
      </c>
      <c r="B12" s="98">
        <v>2</v>
      </c>
    </row>
    <row r="13" spans="1:7" x14ac:dyDescent="0.25">
      <c r="A13" s="98" t="s">
        <v>102</v>
      </c>
      <c r="B13" s="98">
        <v>4</v>
      </c>
    </row>
    <row r="14" spans="1:7" x14ac:dyDescent="0.25">
      <c r="A14" s="98" t="s">
        <v>103</v>
      </c>
      <c r="B14" s="98">
        <v>6</v>
      </c>
    </row>
    <row r="15" spans="1:7" x14ac:dyDescent="0.25">
      <c r="A15" s="98" t="s">
        <v>104</v>
      </c>
      <c r="B15" s="98">
        <v>8</v>
      </c>
    </row>
    <row r="16" spans="1:7" x14ac:dyDescent="0.25">
      <c r="A16" s="98" t="s">
        <v>105</v>
      </c>
      <c r="B16" s="98">
        <v>9</v>
      </c>
    </row>
    <row r="19" spans="1:1" x14ac:dyDescent="0.25">
      <c r="A19" s="99" t="s">
        <v>108</v>
      </c>
    </row>
    <row r="21" spans="1:1" x14ac:dyDescent="0.25">
      <c r="A21" t="s">
        <v>107</v>
      </c>
    </row>
    <row r="23" spans="1:1" x14ac:dyDescent="0.25">
      <c r="A23" t="s">
        <v>112</v>
      </c>
    </row>
    <row r="25" spans="1:1" x14ac:dyDescent="0.25">
      <c r="A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I&amp;W Analysis</vt:lpstr>
      <vt:lpstr>Risk Profile (RT &amp; RP)</vt:lpstr>
      <vt:lpstr>Formula for 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Govindarajan</cp:lastModifiedBy>
  <cp:revision>0</cp:revision>
  <dcterms:created xsi:type="dcterms:W3CDTF">2026-03-17T22:52:24Z</dcterms:created>
  <dcterms:modified xsi:type="dcterms:W3CDTF">2026-03-19T02:40:26Z</dcterms:modified>
  <dc:language>en-US</dc:language>
</cp:coreProperties>
</file>