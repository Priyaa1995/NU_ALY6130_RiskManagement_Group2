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ung\Downloads\"/>
    </mc:Choice>
  </mc:AlternateContent>
  <xr:revisionPtr revIDLastSave="0" documentId="13_ncr:1_{74ED8DA9-2939-410D-B208-593B6ED07C24}" xr6:coauthVersionLast="47" xr6:coauthVersionMax="47" xr10:uidLastSave="{00000000-0000-0000-0000-000000000000}"/>
  <bookViews>
    <workbookView xWindow="-120" yWindow="-120" windowWidth="29040" windowHeight="15720" tabRatio="500" activeTab="1" xr2:uid="{00000000-000D-0000-FFFF-FFFF00000000}"/>
  </bookViews>
  <sheets>
    <sheet name="Intro" sheetId="5" r:id="rId1"/>
    <sheet name="Risk Register"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4" i="1" l="1"/>
  <c r="I3" i="1"/>
  <c r="I2" i="1"/>
</calcChain>
</file>

<file path=xl/sharedStrings.xml><?xml version="1.0" encoding="utf-8"?>
<sst xmlns="http://schemas.openxmlformats.org/spreadsheetml/2006/main" count="44" uniqueCount="39">
  <si>
    <t>Risk #</t>
  </si>
  <si>
    <t>Date</t>
  </si>
  <si>
    <t>The Risk of/That</t>
  </si>
  <si>
    <t>Caused by</t>
  </si>
  <si>
    <t>Resulting In</t>
  </si>
  <si>
    <t>Consequence/Impact</t>
  </si>
  <si>
    <t>Likelihood Score</t>
  </si>
  <si>
    <t>Impact Score</t>
  </si>
  <si>
    <t>Risk Score</t>
  </si>
  <si>
    <t>Priority (H, M, L)</t>
  </si>
  <si>
    <t>Mitigation</t>
  </si>
  <si>
    <t>Risk Owner</t>
  </si>
  <si>
    <t>Open/Closed</t>
  </si>
  <si>
    <t>R-01</t>
  </si>
  <si>
    <t>March 2, 2026</t>
  </si>
  <si>
    <t>Technology / Information Security Risk. A breach during integration could trigger OSFI enforcement action, expose EQB to class-action liability under PIPEDA, and cause customer attrition in the newly acquired PC Financial portfolio. Reputational damage at this stage would directly undermine the $800M acquisition's projected mid-single-digit EPS accretion and $30M annual cost synergy targets.</t>
  </si>
  <si>
    <t>H</t>
  </si>
  <si>
    <t>Activate a dedicated cybersecurity integration workstream within EQB's Integration Management Office (IMO), established in January 2026. Conduct a full access control audit before and after each migration phase. Deploy real-time anomaly detection across both legacy and migrated environments. Engage a third-party penetration testing firm to run adversarial simulations prior to system go-live. Establish a customer notification protocol aligned with OSFI B-10 guidelines.</t>
  </si>
  <si>
    <t>Chief Information Security Officer (CISO) / Integration Management Office</t>
  </si>
  <si>
    <t>Open</t>
  </si>
  <si>
    <t>R-02</t>
  </si>
  <si>
    <t>Regulatory / Compliance Risk. Any delay in approval extends the period during which EQB bears integration planning costs without generating the anticipated revenue synergies. Conditional approval imposing data sharing restrictions could permanently cap the value of the PC Optimum partnership, which is central to EQB's AI-driven personalization and cross-sell strategy. EQB's 2026 ROE target of 12%+ depends materially on the deal closing within the anticipated window.</t>
  </si>
  <si>
    <t>M</t>
  </si>
  <si>
    <t>Maintain proactive and transparent communication with OSFI and the Competition Bureau throughout the review process. Prepare contingency integration scenarios that account for 6–12 month approval delays. Engage external regulatory counsel with experience in Canadian bank M&amp;A to anticipate and pre-address Competition Bureau concerns around data concentration. Ensure the Transaction Agreement includes appropriate termination rights and cost-sharing provisions if approval is denied or conditioned.</t>
  </si>
  <si>
    <t>Chief Risk Officer (CRO) / General Counsel</t>
  </si>
  <si>
    <t>R-03</t>
  </si>
  <si>
    <t>Strategic / Financial Opportunity. If cross-sell conversion rates among PC Financial's non-deposit credit card holders reach even 15–20%, EQB could add hundreds of thousands of new deposit customers without incremental acquisition cost. Combined with the loyalty data advantage from PC Optimum, this positions EQB to deliver targeted offers at the point of purchase, creating a feedback loop between retail spending behavior and banking product uptake that Canada's Big Six currently cannot replicate at the same scale.</t>
  </si>
  <si>
    <t>Develop a structured, phased cross-sell campaign launched within 90 days of deal close, prioritizing PC Mastercard holders with strong payment histories as the first conversion cohort. Use EQB's TDH-EQB Fabric near-real-time analytics environment to build personalized product recommendations informed by PC Optimum spending patterns. Apply PIPEDA-compliant consent frameworks for data use. Set quarterly conversion KPIs and establish a dedicated customer experience team to manage the transition without disrupting existing PC Financial card relationships with Loblaw stores.</t>
  </si>
  <si>
    <t>Chief Marketing Officer / Chief Digital Officer</t>
  </si>
  <si>
    <t>EQB's acquisition of PC Financial's 2.5 million customers, of whom approximately 90% currently hold only a PC Mastercard or PC Money account and have no deposit relationship with PC Financial  creating a large, warm audience already familiar with the PC Financial brand and open to additional financial products  combined with EQB's competitive savings rates, no-fee structure, and the exclusive 12-year PC Optimum partnership covering 17.5 million active loyalty members</t>
  </si>
  <si>
    <t>Cybersecurity breach or data compromise</t>
  </si>
  <si>
    <t>Prolonged regulatory approval delay or conditional approval imposing structural restrictions</t>
  </si>
  <si>
    <t>Unauthorized access to or exfiltration of personal financial data, triggering OSFI incident reporting obligations, potential regulatory penalties under PIPEDA, and a material loss of customer trust at a critical period when EQB is transitioning PC Financial's 2.5 million customers to the EQ Bank brand</t>
  </si>
  <si>
    <t>Delayed deal closing beyond calendar 2026, increased uncertainty around integration planning timelines, potential requirement to divest assets or restructure the PC Optimum commercial agreement, and escalating carrying costs that worsen EQB's near-term ROE trajectory, which is already under pressure following the Q4 2025 restructuring that reduced adjusted net income by 32% year-over-year</t>
  </si>
  <si>
    <t>Material expansion of EQB's deposit base, GIC balances, and mortgage origination volume as credit card holders are converted into full-service digital banking customers, driving revenue growth that supports EQB's path back toward a 15%+ ROE  the target publicly described by CEO Chadwick Westlake as EQB's long-term North Star  and validating the strategic logic behind the $800 million acquisition price</t>
  </si>
  <si>
    <r>
      <rPr>
        <b/>
        <sz val="24"/>
        <color theme="1"/>
        <rFont val="Calibri"/>
        <family val="2"/>
        <scheme val="minor"/>
      </rPr>
      <t xml:space="preserve">ALY6130 - Risk Management Analytics 
</t>
    </r>
    <r>
      <rPr>
        <b/>
        <sz val="16"/>
        <color theme="1"/>
        <rFont val="Calibri"/>
        <family val="2"/>
        <scheme val="minor"/>
      </rPr>
      <t>Assignment 2- Risk Identification</t>
    </r>
    <r>
      <rPr>
        <b/>
        <sz val="18"/>
        <color theme="1"/>
        <rFont val="Calibri"/>
        <family val="2"/>
        <scheme val="minor"/>
      </rPr>
      <t xml:space="preserve">
</t>
    </r>
    <r>
      <rPr>
        <b/>
        <sz val="24"/>
        <color theme="1"/>
        <rFont val="Calibri"/>
        <family val="2"/>
        <scheme val="minor"/>
      </rPr>
      <t xml:space="preserve">
</t>
    </r>
    <r>
      <rPr>
        <b/>
        <sz val="16"/>
        <color theme="1"/>
        <rFont val="Calibri"/>
        <family val="2"/>
        <scheme val="minor"/>
      </rPr>
      <t xml:space="preserve">Instructor: Professor Abeba Nigussie Turi
             Group2: Rahul Reddy Basani, Md Maniur Rahman, Shanmugapriya Gopalakrishnan
</t>
    </r>
    <r>
      <rPr>
        <b/>
        <sz val="24"/>
        <color theme="1"/>
        <rFont val="Calibri"/>
        <family val="2"/>
        <scheme val="minor"/>
      </rPr>
      <t xml:space="preserve">
</t>
    </r>
    <r>
      <rPr>
        <b/>
        <sz val="16"/>
        <color theme="1"/>
        <rFont val="Calibri"/>
        <family val="2"/>
        <scheme val="minor"/>
      </rPr>
      <t>Case StudyEQB Inc - PC Financials -Merger Acquisition</t>
    </r>
  </si>
  <si>
    <t>An opportunity that cross-sell conversion of PC Financial's credit-card-only customers accelerates deposit and lending growth across the combined customer base</t>
  </si>
  <si>
    <t>Temporary exposure of access controls, data migration pipelines, and authentication systems during the technical integration of EQB's Microsoft Azure cloud environment with PC Financial's legacy banking infrastructure, compounded by the sudden expansion of sensitive data scope to include credit card records for over 2 million accounts and PC Optimum loyalty data linked to 17.5 million Canadians.This integration vulnerability is compounded by the competitive pressure EQB faces from Canada's Big Six banks and emerging fintechs such as Koho and Neo Financial, which actively monitors challenger bank missteps during M&amp;A transitions to capture displaced customers.</t>
  </si>
  <si>
    <t>Heightened scrutiny from the Office of the Superintendent of Financial Institutions (OSFI) and the Competition Bureau of Canada  both of which received formal applications in January 2026  regarding the concentration of financial and loyalty data under a single challenger bank, as well as the structural dependency created by Loblaw holding a minimum 17% equity stake in EQB with two board seats. prolonged review also provides Canada's Big Six banks and loyalty-linked fintechs a window to launch competing products targeting the same PC Optimum customer base before EQB can deploy its cross-sell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</si>
</sst>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9" x14ac:knownFonts="1">
    <font>
      <sz val="11"/>
      <color theme="1"/>
      <name val="Arial"/>
      <charset val="1"/>
    </font>
    <font>
      <b/>
      <sz val="12"/>
      <color rgb="FF000000"/>
      <name val="Calibri"/>
      <family val="2"/>
    </font>
    <font>
      <sz val="11"/>
      <color theme="1"/>
      <name val="Calibri"/>
      <family val="2"/>
    </font>
    <font>
      <sz val="11"/>
      <name val="Calibri"/>
      <family val="2"/>
    </font>
    <font>
      <sz val="11"/>
      <name val="Calibri"/>
      <family val="2"/>
    </font>
    <font>
      <sz val="24"/>
      <color theme="1"/>
      <name val="Calibri"/>
      <family val="2"/>
      <scheme val="minor"/>
    </font>
    <font>
      <b/>
      <sz val="24"/>
      <color theme="1"/>
      <name val="Calibri"/>
      <family val="2"/>
      <scheme val="minor"/>
    </font>
    <font>
      <b/>
      <sz val="18"/>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0"/>
        <bgColor rgb="FFFFFF00"/>
      </patternFill>
    </fill>
    <fill>
      <patternFill patternType="solid">
        <fgColor theme="0"/>
        <bgColor rgb="FF008080"/>
      </patternFill>
    </fill>
    <fill>
      <patternFill patternType="solid">
        <fgColor theme="0"/>
        <bgColor rgb="FFE2EFDA"/>
      </patternFill>
    </fill>
    <fill>
      <patternFill patternType="solid">
        <fgColor theme="4"/>
        <bgColor rgb="FFFFFF00"/>
      </patternFill>
    </fill>
    <fill>
      <patternFill patternType="solid">
        <fgColor theme="4"/>
        <bgColor rgb="FF008080"/>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0" borderId="0" xfId="0" applyFont="1" applyAlignment="1">
      <alignment vertical="top"/>
    </xf>
    <xf numFmtId="0" fontId="3" fillId="4" borderId="1" xfId="0" applyFont="1" applyFill="1" applyBorder="1" applyAlignment="1">
      <alignment horizontal="left" vertical="top" wrapText="1"/>
    </xf>
    <xf numFmtId="164" fontId="3" fillId="4" borderId="1" xfId="0" applyNumberFormat="1" applyFont="1" applyFill="1" applyBorder="1" applyAlignment="1">
      <alignment horizontal="left" vertical="top" wrapText="1"/>
    </xf>
    <xf numFmtId="0" fontId="3" fillId="3"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5" borderId="1" xfId="0" applyFont="1" applyFill="1" applyBorder="1" applyAlignment="1">
      <alignment horizontal="left" vertical="top" wrapText="1" readingOrder="1"/>
    </xf>
    <xf numFmtId="0" fontId="1" fillId="6" borderId="1" xfId="0" applyFont="1" applyFill="1" applyBorder="1" applyAlignment="1">
      <alignment horizontal="left" vertical="top" wrapText="1" readingOrder="1"/>
    </xf>
    <xf numFmtId="0" fontId="2" fillId="7" borderId="0" xfId="0" applyFont="1" applyFill="1" applyAlignment="1">
      <alignment vertical="top"/>
    </xf>
    <xf numFmtId="0" fontId="0" fillId="7" borderId="0" xfId="0" applyFill="1"/>
    <xf numFmtId="0" fontId="5" fillId="0" borderId="0" xfId="0" applyFont="1" applyAlignment="1">
      <alignment horizontal="center" vertical="top"/>
    </xf>
    <xf numFmtId="0" fontId="0" fillId="0" borderId="0" xfId="0" applyAlignment="1">
      <alignment vertical="top"/>
    </xf>
    <xf numFmtId="0" fontId="6"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0"/>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FFE0"/>
      <rgbColor rgb="FFFFFF99"/>
      <rgbColor rgb="FF99CCFF"/>
      <rgbColor rgb="FFFF99CC"/>
      <rgbColor rgb="FFCC99FF"/>
      <rgbColor rgb="FFFFE0E0"/>
      <rgbColor rgb="FF2E75B6"/>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E657-8DD8-4885-92B7-8A6D3043E58B}">
  <dimension ref="G8:R25"/>
  <sheetViews>
    <sheetView workbookViewId="0">
      <selection activeCell="O18" sqref="O18"/>
    </sheetView>
  </sheetViews>
  <sheetFormatPr defaultRowHeight="14.25" x14ac:dyDescent="0.2"/>
  <cols>
    <col min="1" max="6" width="9" style="12"/>
    <col min="7" max="7" width="6.125" style="12" customWidth="1"/>
    <col min="8" max="11" width="9" style="12" hidden="1" customWidth="1"/>
    <col min="12" max="12" width="74.125" style="12" customWidth="1"/>
    <col min="13" max="16384" width="9" style="12"/>
  </cols>
  <sheetData>
    <row r="8" spans="7:18" ht="14.25" customHeight="1" x14ac:dyDescent="0.2">
      <c r="G8" s="11"/>
      <c r="H8" s="11"/>
      <c r="I8" s="11"/>
      <c r="J8" s="11"/>
      <c r="K8" s="11"/>
      <c r="L8" s="11"/>
      <c r="M8" s="11"/>
      <c r="N8" s="11"/>
      <c r="O8" s="11"/>
      <c r="P8" s="11"/>
      <c r="Q8" s="11"/>
      <c r="R8" s="11"/>
    </row>
    <row r="9" spans="7:18" ht="14.25" customHeight="1" x14ac:dyDescent="0.2">
      <c r="G9" s="11"/>
      <c r="H9" s="11"/>
      <c r="I9" s="11"/>
      <c r="J9" s="11"/>
      <c r="K9" s="11"/>
      <c r="L9" s="11"/>
      <c r="M9" s="11"/>
      <c r="N9" s="11"/>
      <c r="O9" s="11"/>
      <c r="P9" s="11"/>
      <c r="Q9" s="11"/>
      <c r="R9" s="11"/>
    </row>
    <row r="10" spans="7:18" ht="14.25" customHeight="1" x14ac:dyDescent="0.2">
      <c r="G10" s="11"/>
      <c r="H10" s="11"/>
      <c r="I10" s="11"/>
      <c r="J10" s="11"/>
      <c r="K10" s="11"/>
      <c r="L10" s="11"/>
      <c r="M10" s="11"/>
      <c r="N10" s="11"/>
      <c r="O10" s="11"/>
      <c r="P10" s="11"/>
      <c r="Q10" s="11"/>
      <c r="R10" s="11"/>
    </row>
    <row r="11" spans="7:18" ht="8.25" customHeight="1" x14ac:dyDescent="0.2">
      <c r="G11" s="11"/>
      <c r="H11" s="11"/>
      <c r="I11" s="11"/>
      <c r="J11" s="11"/>
      <c r="K11" s="11"/>
      <c r="L11" s="11"/>
      <c r="M11" s="11"/>
      <c r="N11" s="11"/>
      <c r="O11" s="11"/>
      <c r="P11" s="11"/>
      <c r="Q11" s="11"/>
      <c r="R11" s="11"/>
    </row>
    <row r="12" spans="7:18" ht="14.25" hidden="1" customHeight="1" x14ac:dyDescent="0.2">
      <c r="G12" s="11"/>
      <c r="H12" s="11"/>
      <c r="I12" s="11"/>
      <c r="J12" s="11"/>
      <c r="K12" s="11"/>
      <c r="L12" s="11"/>
      <c r="M12" s="11"/>
      <c r="N12" s="11"/>
      <c r="O12" s="11"/>
      <c r="P12" s="11"/>
      <c r="Q12" s="11"/>
      <c r="R12" s="11"/>
    </row>
    <row r="13" spans="7:18" ht="14.25" hidden="1" customHeight="1" x14ac:dyDescent="0.2">
      <c r="G13" s="11"/>
      <c r="H13" s="11"/>
      <c r="I13" s="11"/>
      <c r="J13" s="11"/>
      <c r="K13" s="11"/>
      <c r="L13" s="11"/>
      <c r="M13" s="11"/>
      <c r="N13" s="11"/>
      <c r="O13" s="11"/>
      <c r="P13" s="11"/>
      <c r="Q13" s="11"/>
      <c r="R13" s="11"/>
    </row>
    <row r="14" spans="7:18" ht="14.25" hidden="1" customHeight="1" x14ac:dyDescent="0.2">
      <c r="G14" s="11"/>
      <c r="H14" s="11"/>
      <c r="I14" s="11"/>
      <c r="J14" s="11"/>
      <c r="K14" s="11"/>
      <c r="L14" s="11"/>
      <c r="M14" s="11"/>
      <c r="N14" s="11"/>
      <c r="O14" s="11"/>
      <c r="P14" s="11"/>
      <c r="Q14" s="11"/>
      <c r="R14" s="11"/>
    </row>
    <row r="15" spans="7:18" ht="14.25" hidden="1" customHeight="1" x14ac:dyDescent="0.2">
      <c r="G15" s="11"/>
      <c r="H15" s="11"/>
      <c r="I15" s="11"/>
      <c r="J15" s="11"/>
      <c r="K15" s="11"/>
      <c r="L15" s="11"/>
      <c r="M15" s="11"/>
      <c r="N15" s="11"/>
      <c r="O15" s="11"/>
      <c r="P15" s="11"/>
      <c r="Q15" s="11"/>
      <c r="R15" s="11"/>
    </row>
    <row r="16" spans="7:18" ht="14.25" hidden="1" customHeight="1" x14ac:dyDescent="0.2">
      <c r="G16" s="11"/>
      <c r="H16" s="11"/>
      <c r="I16" s="11"/>
      <c r="J16" s="11"/>
      <c r="K16" s="11"/>
      <c r="L16" s="11"/>
      <c r="M16" s="11"/>
      <c r="N16" s="11"/>
      <c r="O16" s="11"/>
      <c r="P16" s="11"/>
      <c r="Q16" s="11"/>
      <c r="R16" s="11"/>
    </row>
    <row r="17" spans="7:18" ht="14.25" hidden="1" customHeight="1" x14ac:dyDescent="0.2">
      <c r="G17" s="11"/>
      <c r="H17" s="11"/>
      <c r="I17" s="11"/>
      <c r="J17" s="11"/>
      <c r="K17" s="11"/>
      <c r="L17" s="11"/>
      <c r="M17" s="11"/>
      <c r="N17" s="11"/>
      <c r="O17" s="11"/>
      <c r="P17" s="11"/>
      <c r="Q17" s="11"/>
      <c r="R17" s="11"/>
    </row>
    <row r="18" spans="7:18" ht="289.5" customHeight="1" x14ac:dyDescent="0.2">
      <c r="G18" s="11"/>
      <c r="H18" s="11"/>
      <c r="I18" s="11"/>
      <c r="J18" s="11"/>
      <c r="K18" s="11"/>
      <c r="L18" s="13" t="s">
        <v>35</v>
      </c>
      <c r="M18" s="11"/>
      <c r="N18" s="11"/>
      <c r="O18" s="11"/>
      <c r="P18" s="11"/>
      <c r="Q18" s="11"/>
      <c r="R18" s="11"/>
    </row>
    <row r="19" spans="7:18" ht="14.25" customHeight="1" x14ac:dyDescent="0.2">
      <c r="G19" s="11"/>
      <c r="H19" s="11"/>
      <c r="I19" s="11"/>
      <c r="J19" s="11"/>
      <c r="K19" s="11"/>
      <c r="L19" s="11"/>
      <c r="M19" s="11"/>
      <c r="N19" s="11"/>
      <c r="O19" s="11"/>
      <c r="P19" s="11"/>
      <c r="Q19" s="11"/>
      <c r="R19" s="11"/>
    </row>
    <row r="20" spans="7:18" ht="14.25" customHeight="1" x14ac:dyDescent="0.2">
      <c r="G20" s="11"/>
      <c r="H20" s="11"/>
      <c r="I20" s="11"/>
      <c r="J20" s="11"/>
      <c r="K20" s="11"/>
      <c r="L20" s="11"/>
      <c r="M20" s="11"/>
      <c r="N20" s="11"/>
      <c r="O20" s="11"/>
      <c r="P20" s="11"/>
      <c r="Q20" s="11"/>
      <c r="R20" s="11"/>
    </row>
    <row r="21" spans="7:18" ht="14.25" customHeight="1" x14ac:dyDescent="0.2">
      <c r="G21" s="11"/>
      <c r="H21" s="11"/>
      <c r="I21" s="11"/>
      <c r="J21" s="11"/>
      <c r="K21" s="11"/>
      <c r="L21" s="11"/>
      <c r="M21" s="11"/>
      <c r="N21" s="11"/>
      <c r="O21" s="11"/>
      <c r="P21" s="11"/>
      <c r="Q21" s="11"/>
      <c r="R21" s="11"/>
    </row>
    <row r="22" spans="7:18" ht="14.25" customHeight="1" x14ac:dyDescent="0.2">
      <c r="G22" s="11"/>
      <c r="H22" s="11"/>
      <c r="I22" s="11"/>
      <c r="J22" s="11"/>
      <c r="K22" s="11"/>
      <c r="L22" s="11"/>
      <c r="M22" s="11"/>
      <c r="N22" s="11"/>
      <c r="O22" s="11"/>
      <c r="P22" s="11"/>
      <c r="Q22" s="11"/>
      <c r="R22" s="11"/>
    </row>
    <row r="23" spans="7:18" ht="14.25" customHeight="1" x14ac:dyDescent="0.2">
      <c r="G23" s="11"/>
      <c r="H23" s="11"/>
      <c r="I23" s="11"/>
      <c r="J23" s="11"/>
      <c r="K23" s="11"/>
      <c r="L23" s="11"/>
      <c r="M23" s="11"/>
      <c r="N23" s="11"/>
      <c r="O23" s="11"/>
      <c r="P23" s="11"/>
      <c r="Q23" s="11"/>
      <c r="R23" s="11"/>
    </row>
    <row r="24" spans="7:18" ht="14.25" customHeight="1" x14ac:dyDescent="0.2">
      <c r="G24" s="11"/>
      <c r="H24" s="11"/>
      <c r="I24" s="11"/>
      <c r="J24" s="11"/>
      <c r="K24" s="11"/>
      <c r="L24" s="11"/>
      <c r="M24" s="11"/>
      <c r="N24" s="11"/>
      <c r="O24" s="11"/>
      <c r="P24" s="11"/>
      <c r="Q24" s="11"/>
      <c r="R24" s="11"/>
    </row>
    <row r="25" spans="7:18" ht="14.25" customHeight="1" x14ac:dyDescent="0.2">
      <c r="G25" s="11"/>
      <c r="H25" s="11"/>
      <c r="I25" s="11"/>
      <c r="J25" s="11"/>
      <c r="K25" s="11"/>
      <c r="L25" s="11"/>
      <c r="M25" s="11"/>
      <c r="N25" s="11"/>
      <c r="O25" s="11"/>
      <c r="P25" s="11"/>
      <c r="Q25" s="11"/>
      <c r="R25"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zoomScaleNormal="100" workbookViewId="0">
      <selection activeCell="C4" sqref="C4"/>
    </sheetView>
  </sheetViews>
  <sheetFormatPr defaultColWidth="12.625" defaultRowHeight="14.25" x14ac:dyDescent="0.2"/>
  <cols>
    <col min="1" max="1" width="8" customWidth="1"/>
    <col min="2" max="2" width="14" customWidth="1"/>
    <col min="3" max="3" width="28" customWidth="1"/>
    <col min="4" max="5" width="40" customWidth="1"/>
    <col min="6" max="6" width="42" customWidth="1"/>
    <col min="7" max="10" width="12" customWidth="1"/>
    <col min="11" max="11" width="42" customWidth="1"/>
    <col min="12" max="12" width="30" customWidth="1"/>
    <col min="13" max="13" width="12" customWidth="1"/>
    <col min="14" max="26" width="7.875" customWidth="1"/>
  </cols>
  <sheetData>
    <row r="1" spans="1:26" s="10" customFormat="1" ht="29.25" customHeight="1" x14ac:dyDescent="0.2">
      <c r="A1" s="7" t="s">
        <v>0</v>
      </c>
      <c r="B1" s="7" t="s">
        <v>1</v>
      </c>
      <c r="C1" s="7" t="s">
        <v>2</v>
      </c>
      <c r="D1" s="7" t="s">
        <v>3</v>
      </c>
      <c r="E1" s="7" t="s">
        <v>4</v>
      </c>
      <c r="F1" s="7" t="s">
        <v>5</v>
      </c>
      <c r="G1" s="8" t="s">
        <v>6</v>
      </c>
      <c r="H1" s="8" t="s">
        <v>7</v>
      </c>
      <c r="I1" s="8" t="s">
        <v>8</v>
      </c>
      <c r="J1" s="8" t="s">
        <v>9</v>
      </c>
      <c r="K1" s="8" t="s">
        <v>10</v>
      </c>
      <c r="L1" s="8" t="s">
        <v>11</v>
      </c>
      <c r="M1" s="7" t="s">
        <v>12</v>
      </c>
      <c r="N1" s="9"/>
      <c r="O1" s="9"/>
      <c r="P1" s="9"/>
      <c r="Q1" s="9"/>
      <c r="R1" s="9"/>
      <c r="S1" s="9"/>
      <c r="T1" s="9"/>
      <c r="U1" s="9"/>
      <c r="V1" s="9"/>
      <c r="W1" s="9"/>
      <c r="X1" s="9"/>
      <c r="Y1" s="9"/>
      <c r="Z1" s="9"/>
    </row>
    <row r="2" spans="1:26" ht="234" customHeight="1" x14ac:dyDescent="0.2">
      <c r="A2" s="2" t="s">
        <v>13</v>
      </c>
      <c r="B2" s="3" t="s">
        <v>14</v>
      </c>
      <c r="C2" s="6" t="s">
        <v>30</v>
      </c>
      <c r="D2" s="2" t="s">
        <v>37</v>
      </c>
      <c r="E2" s="6" t="s">
        <v>32</v>
      </c>
      <c r="F2" s="2" t="s">
        <v>15</v>
      </c>
      <c r="G2" s="4">
        <v>7</v>
      </c>
      <c r="H2" s="4">
        <v>8</v>
      </c>
      <c r="I2" s="4">
        <f>G2*H2</f>
        <v>56</v>
      </c>
      <c r="J2" s="4" t="s">
        <v>16</v>
      </c>
      <c r="K2" s="4" t="s">
        <v>17</v>
      </c>
      <c r="L2" s="4" t="s">
        <v>18</v>
      </c>
      <c r="M2" s="5" t="s">
        <v>19</v>
      </c>
      <c r="N2" s="1"/>
      <c r="O2" s="1"/>
      <c r="P2" s="1"/>
      <c r="Q2" s="1"/>
      <c r="R2" s="1"/>
      <c r="S2" s="1"/>
      <c r="T2" s="1"/>
      <c r="U2" s="1"/>
      <c r="V2" s="1"/>
      <c r="W2" s="1"/>
      <c r="X2" s="1"/>
      <c r="Y2" s="1"/>
      <c r="Z2" s="1"/>
    </row>
    <row r="3" spans="1:26" ht="204.75" customHeight="1" x14ac:dyDescent="0.2">
      <c r="A3" s="2" t="s">
        <v>20</v>
      </c>
      <c r="B3" s="2" t="s">
        <v>14</v>
      </c>
      <c r="C3" s="6" t="s">
        <v>31</v>
      </c>
      <c r="D3" s="2" t="s">
        <v>38</v>
      </c>
      <c r="E3" s="6" t="s">
        <v>33</v>
      </c>
      <c r="F3" s="2" t="s">
        <v>21</v>
      </c>
      <c r="G3" s="4">
        <v>5</v>
      </c>
      <c r="H3" s="4">
        <v>6</v>
      </c>
      <c r="I3" s="4">
        <f>G3*H3</f>
        <v>30</v>
      </c>
      <c r="J3" s="4" t="s">
        <v>22</v>
      </c>
      <c r="K3" s="4" t="s">
        <v>23</v>
      </c>
      <c r="L3" s="4" t="s">
        <v>24</v>
      </c>
      <c r="M3" s="5" t="s">
        <v>19</v>
      </c>
      <c r="N3" s="1"/>
      <c r="O3" s="1"/>
      <c r="P3" s="1"/>
      <c r="Q3" s="1"/>
      <c r="R3" s="1"/>
      <c r="S3" s="1"/>
      <c r="T3" s="1"/>
      <c r="U3" s="1"/>
      <c r="V3" s="1"/>
      <c r="W3" s="1"/>
      <c r="X3" s="1"/>
      <c r="Y3" s="1"/>
      <c r="Z3" s="1"/>
    </row>
    <row r="4" spans="1:26" ht="159.75" customHeight="1" x14ac:dyDescent="0.2">
      <c r="A4" s="2" t="s">
        <v>25</v>
      </c>
      <c r="B4" s="2" t="s">
        <v>14</v>
      </c>
      <c r="C4" s="2" t="s">
        <v>36</v>
      </c>
      <c r="D4" s="2" t="s">
        <v>29</v>
      </c>
      <c r="E4" s="6" t="s">
        <v>34</v>
      </c>
      <c r="F4" s="2" t="s">
        <v>26</v>
      </c>
      <c r="G4" s="4">
        <v>7</v>
      </c>
      <c r="H4" s="4">
        <v>8</v>
      </c>
      <c r="I4" s="4">
        <f>G4*H4</f>
        <v>56</v>
      </c>
      <c r="J4" s="4" t="s">
        <v>16</v>
      </c>
      <c r="K4" s="4" t="s">
        <v>27</v>
      </c>
      <c r="L4" s="4" t="s">
        <v>28</v>
      </c>
      <c r="M4" s="5" t="s">
        <v>19</v>
      </c>
      <c r="N4" s="1"/>
      <c r="O4" s="1"/>
      <c r="P4" s="1"/>
      <c r="Q4" s="1"/>
      <c r="R4" s="1"/>
      <c r="S4" s="1"/>
      <c r="T4" s="1"/>
      <c r="U4" s="1"/>
      <c r="V4" s="1"/>
      <c r="W4" s="1"/>
      <c r="X4" s="1"/>
      <c r="Y4" s="1"/>
      <c r="Z4" s="1"/>
    </row>
    <row r="5" spans="1:26" ht="1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vt: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Arun Govindarajan</cp:lastModifiedBy>
  <cp:revision>0</cp:revision>
  <dcterms:created xsi:type="dcterms:W3CDTF">2026-03-03T07:50:30Z</dcterms:created>
  <dcterms:modified xsi:type="dcterms:W3CDTF">2026-03-05T00:48:11Z</dcterms:modified>
  <dc:language>en-US</dc:language>
</cp:coreProperties>
</file>